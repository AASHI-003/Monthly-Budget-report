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AASHI\EN-32A TEMPLATE\Templates\"/>
    </mc:Choice>
  </mc:AlternateContent>
  <xr:revisionPtr revIDLastSave="0" documentId="13_ncr:1_{FB284B24-72D2-40D0-92B4-3F8CF147F013}" xr6:coauthVersionLast="36" xr6:coauthVersionMax="36" xr10:uidLastSave="{00000000-0000-0000-0000-000000000000}"/>
  <bookViews>
    <workbookView xWindow="0" yWindow="0" windowWidth="23040" windowHeight="8940" activeTab="1" xr2:uid="{D820DDC6-1780-43E8-9C6B-1E77D9167A03}"/>
  </bookViews>
  <sheets>
    <sheet name="summary" sheetId="2" r:id="rId1"/>
    <sheet name="Report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2" l="1"/>
  <c r="B4" i="2"/>
  <c r="D4" i="2" s="1"/>
  <c r="B5" i="2"/>
  <c r="D5" i="2" s="1"/>
  <c r="B6" i="2"/>
  <c r="D6" i="2" s="1"/>
  <c r="B3" i="2"/>
  <c r="D3" i="2" s="1"/>
  <c r="C5" i="2" l="1"/>
  <c r="E5" i="2" s="1"/>
  <c r="C3" i="2"/>
  <c r="E3" i="2" s="1"/>
  <c r="C6" i="2"/>
  <c r="E6" i="2" s="1"/>
  <c r="C4" i="2"/>
  <c r="E4" i="2" s="1"/>
  <c r="F12" i="1"/>
  <c r="D12" i="1"/>
  <c r="D3" i="1"/>
  <c r="F2" i="1"/>
</calcChain>
</file>

<file path=xl/sharedStrings.xml><?xml version="1.0" encoding="utf-8"?>
<sst xmlns="http://schemas.openxmlformats.org/spreadsheetml/2006/main" count="251" uniqueCount="42">
  <si>
    <t>Qtr</t>
  </si>
  <si>
    <t>Funds Available ( INR ): Account</t>
  </si>
  <si>
    <t xml:space="preserve">Budget head </t>
  </si>
  <si>
    <t>Planned  Budget(INR)</t>
  </si>
  <si>
    <t>Encumbrance</t>
  </si>
  <si>
    <t xml:space="preserve"> Actual used</t>
  </si>
  <si>
    <t xml:space="preserve">Funds Available ( INR ): </t>
  </si>
  <si>
    <t>Q1</t>
  </si>
  <si>
    <t>2115003(Foreign travel)</t>
  </si>
  <si>
    <t>Foreign travel</t>
  </si>
  <si>
    <t>2131601(Component for R&amp;D)</t>
  </si>
  <si>
    <t>Component for R&amp;D</t>
  </si>
  <si>
    <t>50665(Birthday coupons)</t>
  </si>
  <si>
    <t>Birthday coupons</t>
  </si>
  <si>
    <t>2114801(B head+Domestic travel)</t>
  </si>
  <si>
    <t>B head</t>
  </si>
  <si>
    <t>Q2</t>
  </si>
  <si>
    <t>21107.(Computer consumables)</t>
  </si>
  <si>
    <t>Computer consumables</t>
  </si>
  <si>
    <t>Q3</t>
  </si>
  <si>
    <t>Q4</t>
  </si>
  <si>
    <t>Utilization %</t>
  </si>
  <si>
    <t>Total used</t>
  </si>
  <si>
    <t>Total expense</t>
  </si>
  <si>
    <t>Month</t>
  </si>
  <si>
    <t>April</t>
  </si>
  <si>
    <t>July</t>
  </si>
  <si>
    <t>October</t>
  </si>
  <si>
    <t>January</t>
  </si>
  <si>
    <t>Report</t>
  </si>
  <si>
    <t>Grand Total</t>
  </si>
  <si>
    <t>Row Labels</t>
  </si>
  <si>
    <t>Average of Utilization %</t>
  </si>
  <si>
    <t>Sum of Total used</t>
  </si>
  <si>
    <t>Sum of Total expense</t>
  </si>
  <si>
    <t>QTR</t>
  </si>
  <si>
    <t>Budget Utilization Summary – [Year/Quarter]</t>
  </si>
  <si>
    <t xml:space="preserve">verify the data </t>
  </si>
  <si>
    <t>Data</t>
  </si>
  <si>
    <t>Verify By:</t>
  </si>
  <si>
    <t>Aashi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</si>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</sst>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Duba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/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5" borderId="13" xfId="0" applyFill="1" applyBorder="1"/>
    <xf numFmtId="0" fontId="0" fillId="5" borderId="0" xfId="0" applyFill="1" applyBorder="1"/>
    <xf numFmtId="0" fontId="0" fillId="5" borderId="14" xfId="0" applyFill="1" applyBorder="1"/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13" xfId="0" applyFill="1" applyBorder="1" applyAlignment="1">
      <alignment horizontal="left"/>
    </xf>
    <xf numFmtId="9" fontId="0" fillId="5" borderId="16" xfId="0" applyNumberFormat="1" applyFill="1" applyBorder="1"/>
    <xf numFmtId="0" fontId="0" fillId="5" borderId="9" xfId="0" applyFill="1" applyBorder="1" applyAlignment="1">
      <alignment horizontal="left" indent="1"/>
    </xf>
    <xf numFmtId="9" fontId="0" fillId="5" borderId="17" xfId="0" applyNumberFormat="1" applyFill="1" applyBorder="1"/>
    <xf numFmtId="0" fontId="0" fillId="5" borderId="9" xfId="0" applyFill="1" applyBorder="1" applyAlignment="1">
      <alignment horizontal="left"/>
    </xf>
    <xf numFmtId="9" fontId="0" fillId="5" borderId="18" xfId="0" applyNumberFormat="1" applyFill="1" applyBorder="1"/>
    <xf numFmtId="0" fontId="0" fillId="5" borderId="2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/>
    <xf numFmtId="0" fontId="0" fillId="5" borderId="1" xfId="0" applyFill="1" applyBorder="1"/>
    <xf numFmtId="0" fontId="6" fillId="5" borderId="3" xfId="1" applyFill="1" applyBorder="1" applyAlignment="1">
      <alignment horizontal="left"/>
    </xf>
    <xf numFmtId="0" fontId="6" fillId="5" borderId="2" xfId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15" xfId="0" applyFill="1" applyBorder="1"/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9" fontId="1" fillId="5" borderId="23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3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3" formatCode="0%"/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" formatCode="0"/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" formatCode="0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6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66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textRotation="0" indent="0" justifyLastLine="0" shrinkToFit="0" readingOrder="0"/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[Monthly_Budgetr Report'25.xlsx]summary!PivotTable4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000" b="1"/>
              <a:t>Monthly</a:t>
            </a:r>
            <a:r>
              <a:rPr lang="en-IN" sz="1000" b="1" baseline="0"/>
              <a:t> Utlization Trends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5687109596819988"/>
          <c:y val="0.12757400578092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9273632107741219E-2"/>
          <c:y val="0.27912068949858776"/>
          <c:w val="0.75050861402120306"/>
          <c:h val="0.422862799589497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summary!$A$11:$A$19</c:f>
              <c:multiLvlStrCache>
                <c:ptCount val="4"/>
                <c:lvl>
                  <c:pt idx="0">
                    <c:v>April</c:v>
                  </c:pt>
                  <c:pt idx="1">
                    <c:v>July</c:v>
                  </c:pt>
                  <c:pt idx="2">
                    <c:v>October</c:v>
                  </c:pt>
                  <c:pt idx="3">
                    <c:v>January</c:v>
                  </c:pt>
                </c:lvl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</c:lvl>
              </c:multiLvlStrCache>
            </c:multiLvlStrRef>
          </c:cat>
          <c:val>
            <c:numRef>
              <c:f>summary!$B$11:$B$19</c:f>
              <c:numCache>
                <c:formatCode>0%</c:formatCode>
                <c:ptCount val="4"/>
                <c:pt idx="0">
                  <c:v>0.96838545710963952</c:v>
                </c:pt>
                <c:pt idx="1">
                  <c:v>0.92694106090753925</c:v>
                </c:pt>
                <c:pt idx="2">
                  <c:v>0.94606959447768002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C-4E88-B336-C09DBF64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451471"/>
        <c:axId val="351620159"/>
      </c:barChart>
      <c:catAx>
        <c:axId val="35245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20159"/>
        <c:crosses val="autoZero"/>
        <c:auto val="1"/>
        <c:lblAlgn val="ctr"/>
        <c:lblOffset val="100"/>
        <c:noMultiLvlLbl val="0"/>
      </c:catAx>
      <c:valAx>
        <c:axId val="3516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5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[Monthly_Budgetr Report'25.xlsx]summary!PivotTable5</c:name>
    <c:fmtId val="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summary!$B$22</c:f>
              <c:strCache>
                <c:ptCount val="1"/>
                <c:pt idx="0">
                  <c:v>Sum of Total used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summary!$A$23:$A$27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summary!$B$23:$B$27</c:f>
              <c:numCache>
                <c:formatCode>0</c:formatCode>
                <c:ptCount val="4"/>
                <c:pt idx="0">
                  <c:v>974028.52</c:v>
                </c:pt>
                <c:pt idx="1">
                  <c:v>478434.14</c:v>
                </c:pt>
                <c:pt idx="2">
                  <c:v>1419812.96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9-4A32-9FD1-665AC951208F}"/>
            </c:ext>
          </c:extLst>
        </c:ser>
        <c:ser>
          <c:idx val="1"/>
          <c:order val="1"/>
          <c:tx>
            <c:strRef>
              <c:f>summary!$C$22</c:f>
              <c:strCache>
                <c:ptCount val="1"/>
                <c:pt idx="0">
                  <c:v>Sum of Total expense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summary!$A$23:$A$27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summary!$C$23:$C$27</c:f>
              <c:numCache>
                <c:formatCode>0</c:formatCode>
                <c:ptCount val="4"/>
                <c:pt idx="0">
                  <c:v>1005827.29</c:v>
                </c:pt>
                <c:pt idx="1">
                  <c:v>516143</c:v>
                </c:pt>
                <c:pt idx="2">
                  <c:v>1500748.96</c:v>
                </c:pt>
                <c:pt idx="3">
                  <c:v>1117008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9-4A32-9FD1-665AC9512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284719"/>
        <c:axId val="351622655"/>
      </c:barChart>
      <c:catAx>
        <c:axId val="502284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22655"/>
        <c:crosses val="autoZero"/>
        <c:auto val="1"/>
        <c:lblAlgn val="ctr"/>
        <c:lblOffset val="100"/>
        <c:noMultiLvlLbl val="0"/>
      </c:catAx>
      <c:valAx>
        <c:axId val="35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8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137160</xdr:rowOff>
    </xdr:from>
    <xdr:to>
      <xdr:col>4</xdr:col>
      <xdr:colOff>1805940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E36D2-F9E8-4583-9B04-C57EB2614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27</xdr:row>
      <xdr:rowOff>121920</xdr:rowOff>
    </xdr:from>
    <xdr:to>
      <xdr:col>3</xdr:col>
      <xdr:colOff>944880</xdr:colOff>
      <xdr:row>42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E0EF1-8384-4CE9-9668-07027D224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678180</xdr:colOff>
      <xdr:row>0</xdr:row>
      <xdr:rowOff>424313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BF4C54-F1B2-401F-8CBF-177038120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501140" cy="4243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/E/DIENSTEN_Aashi, (EN-32A)" refreshedDate="46013.518978472224" createdVersion="6" refreshedVersion="6" minRefreshableVersion="3" recordCount="4" xr:uid="{579B684F-7518-486A-9DFB-0F9EF21B4601}">
  <cacheSource type="worksheet">
    <worksheetSource ref="A2:E6" sheet="summary"/>
  </cacheSource>
  <cacheFields count="5">
    <cacheField name="Qtr" numFmtId="0">
      <sharedItems count="4">
        <s v="Q1"/>
        <s v="Q2"/>
        <s v="Q3"/>
        <s v="Q4"/>
      </sharedItems>
    </cacheField>
    <cacheField name="Month" numFmtId="0">
      <sharedItems count="4">
        <s v="April"/>
        <s v="July"/>
        <s v="October"/>
        <s v="January"/>
      </sharedItems>
    </cacheField>
    <cacheField name="Total used" numFmtId="0">
      <sharedItems containsSemiMixedTypes="0" containsString="0" containsNumber="1" minValue="0" maxValue="1419812.96"/>
    </cacheField>
    <cacheField name="Total expense" numFmtId="0">
      <sharedItems containsSemiMixedTypes="0" containsString="0" containsNumber="1" minValue="516143" maxValue="1500748.96"/>
    </cacheField>
    <cacheField name="Utilization %" numFmtId="9">
      <sharedItems containsSemiMixedTypes="0" containsString="0" containsNumber="1" minValue="0" maxValue="0.96838545710963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974028.52"/>
    <n v="1005827.29"/>
    <n v="0.96838545710963952"/>
  </r>
  <r>
    <x v="1"/>
    <x v="1"/>
    <n v="478434.14"/>
    <n v="516143"/>
    <n v="0.92694106090753925"/>
  </r>
  <r>
    <x v="2"/>
    <x v="2"/>
    <n v="1419812.96"/>
    <n v="1500748.96"/>
    <n v="0.94606959447768002"/>
  </r>
  <r>
    <x v="3"/>
    <x v="3"/>
    <n v="0"/>
    <n v="111700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241AB-303D-4179-85E7-40C49A39BBA2}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QTR">
  <location ref="A22:C27" firstHeaderRow="0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used" fld="2" baseField="0" baseItem="0" numFmtId="1"/>
    <dataField name="Sum of Total expense" fld="3" baseField="0" baseItem="0" numFmtId="1"/>
  </dataFields>
  <formats count="32">
    <format dxfId="133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4A5E6-83F3-448A-827D-397DA5D8B896}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0:B19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9" showAll="0"/>
  </pivotFields>
  <rowFields count="2">
    <field x="0"/>
    <field x="1"/>
  </rowFields>
  <rowItems count="9">
    <i>
      <x/>
    </i>
    <i r="1">
      <x v="1"/>
    </i>
    <i>
      <x v="1"/>
    </i>
    <i r="1">
      <x v="2"/>
    </i>
    <i>
      <x v="2"/>
    </i>
    <i r="1">
      <x v="3"/>
    </i>
    <i>
      <x v="3"/>
    </i>
    <i r="1">
      <x/>
    </i>
    <i t="grand">
      <x/>
    </i>
  </rowItems>
  <colItems count="1">
    <i/>
  </colItems>
  <dataFields count="1">
    <dataField name="Average of Utilization %" fld="4" subtotal="average" baseField="0" baseItem="0" numFmtId="9"/>
  </dataFields>
  <formats count="27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1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  <format dxfId="134">
      <pivotArea outline="0" fieldPosition="0">
        <references count="1">
          <reference field="4294967294" count="1">
            <x v="0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03">
      <pivotArea dataOnly="0" labelOnly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02">
      <pivotArea dataOnly="0" labelOnly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101">
      <pivotArea dataOnly="0" labelOnly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00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8">
      <pivotArea dataOnly="0" labelOnly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7">
      <pivotArea dataOnly="0" labelOnly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6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E3BCB-C8DE-4DDE-AB8C-F1991A842E0E}" name="Table2" displayName="Table2" ref="C2:E6" totalsRowShown="0" headerRowDxfId="1" dataDxfId="0" tableBorderDxfId="142">
  <autoFilter ref="C2:E6" xr:uid="{EC007654-0EE8-4E9B-B2E3-1EB0A016C117}"/>
  <tableColumns count="3">
    <tableColumn id="5" xr3:uid="{2196E7D9-DB66-4D11-8B78-58B1BA9727A3}" name="Total used" dataDxfId="4">
      <calculatedColumnFormula>SUMIF(Table1[Month],B3,Table1[[ Actual used]])</calculatedColumnFormula>
    </tableColumn>
    <tableColumn id="3" xr3:uid="{6C6B59BF-2B45-4A92-A30F-C87B1BD53E0D}" name="Total expense" dataDxfId="3">
      <calculatedColumnFormula>SUMIF(Table1[Month],B3,Table1[Planned  Budget(INR)])</calculatedColumnFormula>
    </tableColumn>
    <tableColumn id="4" xr3:uid="{BE1DB1D6-4F20-4B53-A892-AC1459190175}" name="Utilization %" dataDxfId="2">
      <calculatedColumnFormula>Table2[[#This Row],[Total used]]/Table2[[#This Row],[Total expense]]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0DF70-D21C-4C5C-B2EF-651B6900B259}" name="Table1" displayName="Table1" ref="A1:H18" totalsRowShown="0" headerRowDxfId="152" headerRowBorderDxfId="151" tableBorderDxfId="150" totalsRowBorderDxfId="149">
  <autoFilter ref="A1:H18" xr:uid="{15C82C9E-0B01-4BC2-9DB7-C1D77EAC2ACB}"/>
  <tableColumns count="8">
    <tableColumn id="1" xr3:uid="{4D5BF53B-6E94-4441-AA14-C03546CED6C1}" name="Qtr" dataDxfId="148"/>
    <tableColumn id="2" xr3:uid="{A2BC79B5-C3AD-4044-B710-ED198E6CE703}" name="Funds Available ( INR ): Account" dataDxfId="147"/>
    <tableColumn id="3" xr3:uid="{DE0CD911-0B5A-4985-BC83-8E8AC768F43A}" name="Budget head " dataDxfId="146"/>
    <tableColumn id="4" xr3:uid="{0C1A31AC-E757-4EB6-A146-4884B399CA70}" name="Planned  Budget(INR)" dataDxfId="145"/>
    <tableColumn id="5" xr3:uid="{110828A8-8D44-4A1E-A8C4-394D361EB2F7}" name="Encumbrance" dataDxfId="144"/>
    <tableColumn id="6" xr3:uid="{FCFC2603-E3D8-4368-BBB5-01A3F25883EC}" name=" Actual used" dataDxfId="143"/>
    <tableColumn id="7" xr3:uid="{B559D4A4-1E8D-4F5E-BE33-54A939BB971B}" name="Funds Available ( INR ): " dataDxfId="22"/>
    <tableColumn id="8" xr3:uid="{7B290C65-D2F7-42A1-9B7E-4EB4DBC488C2}" name="Month" dataDxfId="1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EE13-34EA-4CE6-8568-BAF9CCF26275}">
  <dimension ref="A1:E49"/>
  <sheetViews>
    <sheetView showGridLines="0" topLeftCell="A4"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28.109375" customWidth="1"/>
    <col min="3" max="3" width="19.21875" bestFit="1" customWidth="1"/>
    <col min="4" max="4" width="23.5546875" customWidth="1"/>
    <col min="5" max="5" width="47" customWidth="1"/>
    <col min="6" max="6" width="12" bestFit="1" customWidth="1"/>
  </cols>
  <sheetData>
    <row r="1" spans="1:5" ht="40.799999999999997" customHeight="1" thickBot="1" x14ac:dyDescent="1.1499999999999999">
      <c r="A1" s="45" t="s">
        <v>36</v>
      </c>
      <c r="B1" s="46"/>
      <c r="C1" s="46"/>
      <c r="D1" s="46"/>
      <c r="E1" s="47"/>
    </row>
    <row r="2" spans="1:5" x14ac:dyDescent="0.3">
      <c r="A2" s="19" t="s">
        <v>0</v>
      </c>
      <c r="B2" s="20" t="s">
        <v>24</v>
      </c>
      <c r="C2" s="48" t="s">
        <v>22</v>
      </c>
      <c r="D2" s="48" t="s">
        <v>23</v>
      </c>
      <c r="E2" s="49" t="s">
        <v>21</v>
      </c>
    </row>
    <row r="3" spans="1:5" x14ac:dyDescent="0.3">
      <c r="A3" s="50" t="s">
        <v>7</v>
      </c>
      <c r="B3" s="51" t="str">
        <f>VLOOKUP(A3,Table1[],8,0)</f>
        <v>April</v>
      </c>
      <c r="C3" s="52">
        <f>SUMIF(Table1[Month],B3,Table1[[ Actual used]])</f>
        <v>974028.52</v>
      </c>
      <c r="D3" s="52">
        <f>SUMIF(Table1[Month],B3,Table1[Planned  Budget(INR)])</f>
        <v>1005827.29</v>
      </c>
      <c r="E3" s="53">
        <f>Table2[[#This Row],[Total used]]/Table2[[#This Row],[Total expense]]</f>
        <v>0.96838545710963952</v>
      </c>
    </row>
    <row r="4" spans="1:5" x14ac:dyDescent="0.3">
      <c r="A4" s="50" t="s">
        <v>16</v>
      </c>
      <c r="B4" s="51" t="str">
        <f>VLOOKUP(A4,Table1[],8,0)</f>
        <v>July</v>
      </c>
      <c r="C4" s="52">
        <f>SUMIF(Table1[Month],B4,Table1[[ Actual used]])</f>
        <v>478434.14</v>
      </c>
      <c r="D4" s="52">
        <f>SUMIF(Table1[Month],B4,Table1[Planned  Budget(INR)])</f>
        <v>516143</v>
      </c>
      <c r="E4" s="53">
        <f>Table2[[#This Row],[Total used]]/Table2[[#This Row],[Total expense]]</f>
        <v>0.92694106090753925</v>
      </c>
    </row>
    <row r="5" spans="1:5" x14ac:dyDescent="0.3">
      <c r="A5" s="50" t="s">
        <v>19</v>
      </c>
      <c r="B5" s="51" t="str">
        <f>VLOOKUP(A5,Table1[],8,0)</f>
        <v>October</v>
      </c>
      <c r="C5" s="52">
        <f>SUMIF(Table1[Month],B5,Table1[[ Actual used]])</f>
        <v>1419812.96</v>
      </c>
      <c r="D5" s="52">
        <f>SUMIF(Table1[Month],B5,Table1[Planned  Budget(INR)])</f>
        <v>1500748.96</v>
      </c>
      <c r="E5" s="53">
        <f>Table2[[#This Row],[Total used]]/Table2[[#This Row],[Total expense]]</f>
        <v>0.94606959447768002</v>
      </c>
    </row>
    <row r="6" spans="1:5" x14ac:dyDescent="0.3">
      <c r="A6" s="50" t="s">
        <v>20</v>
      </c>
      <c r="B6" s="51" t="str">
        <f>VLOOKUP(A6,Table1[],8,0)</f>
        <v>January</v>
      </c>
      <c r="C6" s="52">
        <f>SUMIF(Table1[Month],B6,Table1[[ Actual used]])</f>
        <v>0</v>
      </c>
      <c r="D6" s="52">
        <f>SUMIF(Table1[Month],B6,Table1[Planned  Budget(INR)])</f>
        <v>1117008</v>
      </c>
      <c r="E6" s="53">
        <f>Table2[[#This Row],[Total used]]/Table2[[#This Row],[Total expense]]</f>
        <v>0</v>
      </c>
    </row>
    <row r="7" spans="1:5" ht="15" thickBot="1" x14ac:dyDescent="0.35">
      <c r="A7" s="22"/>
      <c r="B7" s="23"/>
      <c r="C7" s="23"/>
      <c r="D7" s="23"/>
      <c r="E7" s="24"/>
    </row>
    <row r="8" spans="1:5" ht="21.6" customHeight="1" thickBot="1" x14ac:dyDescent="0.35">
      <c r="A8" s="25" t="s">
        <v>29</v>
      </c>
      <c r="B8" s="26"/>
      <c r="C8" s="26"/>
      <c r="D8" s="26"/>
      <c r="E8" s="27"/>
    </row>
    <row r="9" spans="1:5" ht="15" thickBot="1" x14ac:dyDescent="0.35">
      <c r="A9" s="22"/>
      <c r="B9" s="23"/>
      <c r="C9" s="23"/>
      <c r="D9" s="23"/>
      <c r="E9" s="24"/>
    </row>
    <row r="10" spans="1:5" ht="15" thickBot="1" x14ac:dyDescent="0.35">
      <c r="A10" s="28" t="s">
        <v>31</v>
      </c>
      <c r="B10" s="28" t="s">
        <v>32</v>
      </c>
      <c r="C10" s="23"/>
      <c r="D10" s="23"/>
      <c r="E10" s="24"/>
    </row>
    <row r="11" spans="1:5" ht="15" thickBot="1" x14ac:dyDescent="0.35">
      <c r="A11" s="29" t="s">
        <v>7</v>
      </c>
      <c r="B11" s="30">
        <v>0.96838545710963952</v>
      </c>
      <c r="C11" s="23"/>
      <c r="D11" s="23"/>
      <c r="E11" s="24"/>
    </row>
    <row r="12" spans="1:5" ht="15" thickBot="1" x14ac:dyDescent="0.35">
      <c r="A12" s="31" t="s">
        <v>25</v>
      </c>
      <c r="B12" s="32">
        <v>0.96838545710963952</v>
      </c>
      <c r="C12" s="23"/>
      <c r="D12" s="23"/>
      <c r="E12" s="24"/>
    </row>
    <row r="13" spans="1:5" ht="15" thickBot="1" x14ac:dyDescent="0.35">
      <c r="A13" s="29" t="s">
        <v>16</v>
      </c>
      <c r="B13" s="32">
        <v>0.92694106090753925</v>
      </c>
      <c r="C13" s="23"/>
      <c r="D13" s="23"/>
      <c r="E13" s="24"/>
    </row>
    <row r="14" spans="1:5" ht="15" thickBot="1" x14ac:dyDescent="0.35">
      <c r="A14" s="31" t="s">
        <v>26</v>
      </c>
      <c r="B14" s="32">
        <v>0.92694106090753925</v>
      </c>
      <c r="C14" s="23"/>
      <c r="D14" s="23"/>
      <c r="E14" s="24"/>
    </row>
    <row r="15" spans="1:5" ht="15" thickBot="1" x14ac:dyDescent="0.35">
      <c r="A15" s="29" t="s">
        <v>19</v>
      </c>
      <c r="B15" s="32">
        <v>0.94606959447768002</v>
      </c>
      <c r="C15" s="23"/>
      <c r="D15" s="23"/>
      <c r="E15" s="24"/>
    </row>
    <row r="16" spans="1:5" ht="15" thickBot="1" x14ac:dyDescent="0.35">
      <c r="A16" s="31" t="s">
        <v>27</v>
      </c>
      <c r="B16" s="32">
        <v>0.94606959447768002</v>
      </c>
      <c r="C16" s="23"/>
      <c r="D16" s="23"/>
      <c r="E16" s="24"/>
    </row>
    <row r="17" spans="1:5" ht="15" thickBot="1" x14ac:dyDescent="0.35">
      <c r="A17" s="29" t="s">
        <v>20</v>
      </c>
      <c r="B17" s="32">
        <v>0</v>
      </c>
      <c r="C17" s="23"/>
      <c r="D17" s="23"/>
      <c r="E17" s="24"/>
    </row>
    <row r="18" spans="1:5" ht="15" thickBot="1" x14ac:dyDescent="0.35">
      <c r="A18" s="31" t="s">
        <v>28</v>
      </c>
      <c r="B18" s="32">
        <v>0</v>
      </c>
      <c r="C18" s="23"/>
      <c r="D18" s="23"/>
      <c r="E18" s="24"/>
    </row>
    <row r="19" spans="1:5" ht="33.6" customHeight="1" thickBot="1" x14ac:dyDescent="0.35">
      <c r="A19" s="33" t="s">
        <v>30</v>
      </c>
      <c r="B19" s="34">
        <v>0.7103490281237147</v>
      </c>
      <c r="C19" s="23"/>
      <c r="D19" s="23"/>
      <c r="E19" s="24"/>
    </row>
    <row r="20" spans="1:5" x14ac:dyDescent="0.3">
      <c r="A20" s="22"/>
      <c r="B20" s="23"/>
      <c r="C20" s="23"/>
      <c r="D20" s="23"/>
      <c r="E20" s="24"/>
    </row>
    <row r="21" spans="1:5" x14ac:dyDescent="0.3">
      <c r="A21" s="22"/>
      <c r="B21" s="23"/>
      <c r="C21" s="23"/>
      <c r="D21" s="23"/>
      <c r="E21" s="24"/>
    </row>
    <row r="22" spans="1:5" x14ac:dyDescent="0.3">
      <c r="A22" s="35" t="s">
        <v>35</v>
      </c>
      <c r="B22" s="36" t="s">
        <v>33</v>
      </c>
      <c r="C22" s="36" t="s">
        <v>34</v>
      </c>
      <c r="D22" s="23"/>
      <c r="E22" s="24"/>
    </row>
    <row r="23" spans="1:5" x14ac:dyDescent="0.3">
      <c r="A23" s="35" t="s">
        <v>7</v>
      </c>
      <c r="B23" s="21">
        <v>974028.52</v>
      </c>
      <c r="C23" s="21">
        <v>1005827.29</v>
      </c>
      <c r="D23" s="23"/>
      <c r="E23" s="24"/>
    </row>
    <row r="24" spans="1:5" x14ac:dyDescent="0.3">
      <c r="A24" s="35" t="s">
        <v>16</v>
      </c>
      <c r="B24" s="21">
        <v>478434.14</v>
      </c>
      <c r="C24" s="21">
        <v>516143</v>
      </c>
      <c r="D24" s="23"/>
      <c r="E24" s="24"/>
    </row>
    <row r="25" spans="1:5" x14ac:dyDescent="0.3">
      <c r="A25" s="35" t="s">
        <v>19</v>
      </c>
      <c r="B25" s="21">
        <v>1419812.96</v>
      </c>
      <c r="C25" s="21">
        <v>1500748.96</v>
      </c>
      <c r="D25" s="23"/>
      <c r="E25" s="24"/>
    </row>
    <row r="26" spans="1:5" x14ac:dyDescent="0.3">
      <c r="A26" s="35" t="s">
        <v>20</v>
      </c>
      <c r="B26" s="21">
        <v>0</v>
      </c>
      <c r="C26" s="21">
        <v>1117008</v>
      </c>
      <c r="D26" s="23"/>
      <c r="E26" s="24"/>
    </row>
    <row r="27" spans="1:5" x14ac:dyDescent="0.3">
      <c r="A27" s="35" t="s">
        <v>30</v>
      </c>
      <c r="B27" s="21">
        <v>2872275.62</v>
      </c>
      <c r="C27" s="21">
        <v>4139727.25</v>
      </c>
      <c r="D27" s="23"/>
      <c r="E27" s="24"/>
    </row>
    <row r="28" spans="1:5" x14ac:dyDescent="0.3">
      <c r="A28" s="22"/>
      <c r="B28" s="23"/>
      <c r="C28" s="23"/>
      <c r="D28" s="23"/>
      <c r="E28" s="24"/>
    </row>
    <row r="29" spans="1:5" x14ac:dyDescent="0.3">
      <c r="A29" s="22"/>
      <c r="B29" s="23"/>
      <c r="C29" s="23"/>
      <c r="D29" s="23"/>
      <c r="E29" s="24"/>
    </row>
    <row r="30" spans="1:5" x14ac:dyDescent="0.3">
      <c r="A30" s="22"/>
      <c r="B30" s="23"/>
      <c r="C30" s="23"/>
      <c r="D30" s="23"/>
      <c r="E30" s="24"/>
    </row>
    <row r="31" spans="1:5" x14ac:dyDescent="0.3">
      <c r="A31" s="22"/>
      <c r="B31" s="23"/>
      <c r="C31" s="23"/>
      <c r="D31" s="23"/>
      <c r="E31" s="24"/>
    </row>
    <row r="32" spans="1:5" x14ac:dyDescent="0.3">
      <c r="A32" s="22"/>
      <c r="B32" s="23"/>
      <c r="C32" s="23"/>
      <c r="D32" s="23"/>
      <c r="E32" s="24"/>
    </row>
    <row r="33" spans="1:5" x14ac:dyDescent="0.3">
      <c r="A33" s="22"/>
      <c r="B33" s="23"/>
      <c r="C33" s="23"/>
      <c r="D33" s="23"/>
      <c r="E33" s="24"/>
    </row>
    <row r="34" spans="1:5" x14ac:dyDescent="0.3">
      <c r="A34" s="22"/>
      <c r="B34" s="23"/>
      <c r="C34" s="23"/>
      <c r="D34" s="23"/>
      <c r="E34" s="24"/>
    </row>
    <row r="35" spans="1:5" x14ac:dyDescent="0.3">
      <c r="A35" s="22"/>
      <c r="B35" s="23"/>
      <c r="C35" s="23"/>
      <c r="D35" s="23"/>
      <c r="E35" s="24"/>
    </row>
    <row r="36" spans="1:5" x14ac:dyDescent="0.3">
      <c r="A36" s="22"/>
      <c r="B36" s="23"/>
      <c r="C36" s="23"/>
      <c r="D36" s="23"/>
      <c r="E36" s="24"/>
    </row>
    <row r="37" spans="1:5" x14ac:dyDescent="0.3">
      <c r="A37" s="22"/>
      <c r="B37" s="23"/>
      <c r="C37" s="23"/>
      <c r="D37" s="23"/>
      <c r="E37" s="24"/>
    </row>
    <row r="38" spans="1:5" x14ac:dyDescent="0.3">
      <c r="A38" s="22"/>
      <c r="B38" s="23"/>
      <c r="C38" s="23"/>
      <c r="D38" s="23"/>
      <c r="E38" s="24"/>
    </row>
    <row r="39" spans="1:5" x14ac:dyDescent="0.3">
      <c r="A39" s="22"/>
      <c r="B39" s="23"/>
      <c r="C39" s="23"/>
      <c r="D39" s="23"/>
      <c r="E39" s="24"/>
    </row>
    <row r="40" spans="1:5" x14ac:dyDescent="0.3">
      <c r="A40" s="22"/>
      <c r="B40" s="23"/>
      <c r="C40" s="23"/>
      <c r="D40" s="23"/>
      <c r="E40" s="24"/>
    </row>
    <row r="41" spans="1:5" x14ac:dyDescent="0.3">
      <c r="A41" s="22"/>
      <c r="B41" s="23"/>
      <c r="C41" s="23"/>
      <c r="D41" s="23"/>
      <c r="E41" s="24"/>
    </row>
    <row r="42" spans="1:5" x14ac:dyDescent="0.3">
      <c r="A42" s="22"/>
      <c r="B42" s="23"/>
      <c r="C42" s="23"/>
      <c r="D42" s="23"/>
      <c r="E42" s="24"/>
    </row>
    <row r="43" spans="1:5" x14ac:dyDescent="0.3">
      <c r="A43" s="22"/>
      <c r="B43" s="23"/>
      <c r="C43" s="23"/>
      <c r="D43" s="23"/>
      <c r="E43" s="24"/>
    </row>
    <row r="44" spans="1:5" x14ac:dyDescent="0.3">
      <c r="A44" s="22"/>
      <c r="B44" s="23"/>
      <c r="C44" s="23"/>
      <c r="D44" s="23"/>
      <c r="E44" s="24"/>
    </row>
    <row r="45" spans="1:5" x14ac:dyDescent="0.3">
      <c r="A45" s="37" t="s">
        <v>37</v>
      </c>
      <c r="B45" s="38"/>
      <c r="C45" s="23"/>
      <c r="D45" s="23"/>
      <c r="E45" s="24"/>
    </row>
    <row r="46" spans="1:5" x14ac:dyDescent="0.3">
      <c r="A46" s="39" t="s">
        <v>38</v>
      </c>
      <c r="B46" s="40"/>
      <c r="C46" s="23"/>
      <c r="D46" s="23"/>
      <c r="E46" s="24"/>
    </row>
    <row r="47" spans="1:5" x14ac:dyDescent="0.3">
      <c r="A47" s="22"/>
      <c r="B47" s="23"/>
      <c r="C47" s="23"/>
      <c r="D47" s="23"/>
      <c r="E47" s="24"/>
    </row>
    <row r="48" spans="1:5" x14ac:dyDescent="0.3">
      <c r="A48" s="38" t="s">
        <v>39</v>
      </c>
      <c r="B48" s="41" t="s">
        <v>40</v>
      </c>
      <c r="C48" s="23"/>
      <c r="D48" s="23"/>
      <c r="E48" s="24"/>
    </row>
    <row r="49" spans="1:5" ht="15" thickBot="1" x14ac:dyDescent="0.35">
      <c r="A49" s="38" t="s">
        <v>41</v>
      </c>
      <c r="B49" s="42">
        <f ca="1">TODAY()</f>
        <v>46013</v>
      </c>
      <c r="C49" s="43"/>
      <c r="D49" s="43"/>
      <c r="E49" s="44"/>
    </row>
  </sheetData>
  <mergeCells count="3">
    <mergeCell ref="A8:E8"/>
    <mergeCell ref="A1:E1"/>
    <mergeCell ref="A46:B46"/>
  </mergeCells>
  <hyperlinks>
    <hyperlink ref="A46" location="Report!A1" display="Data" xr:uid="{3F3BEDAC-0575-420D-B5D0-D9264EDC9C14}"/>
  </hyperlinks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6B33-D05F-4CBC-A328-25CC9233F93C}">
  <dimension ref="A1:H18"/>
  <sheetViews>
    <sheetView tabSelected="1" workbookViewId="0">
      <selection activeCell="D22" sqref="D22"/>
    </sheetView>
  </sheetViews>
  <sheetFormatPr defaultRowHeight="14.4" x14ac:dyDescent="0.3"/>
  <cols>
    <col min="1" max="1" width="16.6640625" customWidth="1"/>
    <col min="2" max="2" width="29.6640625" style="5" customWidth="1"/>
    <col min="3" max="3" width="18.77734375" customWidth="1"/>
    <col min="4" max="4" width="23.77734375" customWidth="1"/>
    <col min="5" max="5" width="14.44140625" customWidth="1"/>
    <col min="6" max="6" width="17.88671875" customWidth="1"/>
    <col min="7" max="7" width="27" style="15" customWidth="1"/>
    <col min="8" max="8" width="18" style="15" customWidth="1"/>
  </cols>
  <sheetData>
    <row r="1" spans="1:8" s="3" customFormat="1" x14ac:dyDescent="0.3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24</v>
      </c>
    </row>
    <row r="2" spans="1:8" x14ac:dyDescent="0.3">
      <c r="A2" s="6" t="s">
        <v>7</v>
      </c>
      <c r="B2" s="1" t="s">
        <v>8</v>
      </c>
      <c r="C2" s="9" t="s">
        <v>9</v>
      </c>
      <c r="D2" s="18">
        <v>523230.85</v>
      </c>
      <c r="E2" s="18">
        <v>0</v>
      </c>
      <c r="F2" s="18">
        <f>523230.85+E2</f>
        <v>523230.85</v>
      </c>
      <c r="G2" s="2">
        <v>0</v>
      </c>
      <c r="H2" s="15" t="s">
        <v>25</v>
      </c>
    </row>
    <row r="3" spans="1:8" x14ac:dyDescent="0.3">
      <c r="A3" s="6" t="s">
        <v>7</v>
      </c>
      <c r="B3" s="1" t="s">
        <v>10</v>
      </c>
      <c r="C3" s="2" t="s">
        <v>11</v>
      </c>
      <c r="D3" s="2">
        <f>140000+40888.25</f>
        <v>180888.25</v>
      </c>
      <c r="E3" s="2"/>
      <c r="F3" s="2">
        <v>150431.48000000001</v>
      </c>
      <c r="G3" s="2">
        <v>30456.77</v>
      </c>
      <c r="H3" s="14" t="s">
        <v>25</v>
      </c>
    </row>
    <row r="4" spans="1:8" x14ac:dyDescent="0.3">
      <c r="A4" s="6" t="s">
        <v>7</v>
      </c>
      <c r="B4" s="1" t="s">
        <v>12</v>
      </c>
      <c r="C4" s="2" t="s">
        <v>13</v>
      </c>
      <c r="D4" s="2">
        <v>3150</v>
      </c>
      <c r="E4" s="2">
        <v>0</v>
      </c>
      <c r="F4" s="2">
        <v>2308</v>
      </c>
      <c r="G4" s="2">
        <v>842</v>
      </c>
      <c r="H4" s="14" t="s">
        <v>25</v>
      </c>
    </row>
    <row r="5" spans="1:8" x14ac:dyDescent="0.3">
      <c r="A5" s="6" t="s">
        <v>7</v>
      </c>
      <c r="B5" s="1" t="s">
        <v>14</v>
      </c>
      <c r="C5" s="2" t="s">
        <v>15</v>
      </c>
      <c r="D5" s="2">
        <v>298558.19</v>
      </c>
      <c r="E5" s="2">
        <v>0</v>
      </c>
      <c r="F5" s="2">
        <v>298058.19</v>
      </c>
      <c r="G5" s="2">
        <v>500</v>
      </c>
      <c r="H5" s="14" t="s">
        <v>25</v>
      </c>
    </row>
    <row r="6" spans="1:8" x14ac:dyDescent="0.3">
      <c r="A6" s="6" t="s">
        <v>16</v>
      </c>
      <c r="B6" s="4" t="s">
        <v>17</v>
      </c>
      <c r="C6" s="2" t="s">
        <v>18</v>
      </c>
      <c r="D6" s="2">
        <v>6835</v>
      </c>
      <c r="E6" s="2">
        <v>0</v>
      </c>
      <c r="F6" s="2">
        <v>5365</v>
      </c>
      <c r="G6" s="2">
        <v>735</v>
      </c>
      <c r="H6" s="14" t="s">
        <v>26</v>
      </c>
    </row>
    <row r="7" spans="1:8" x14ac:dyDescent="0.3">
      <c r="A7" s="6" t="s">
        <v>16</v>
      </c>
      <c r="B7" s="1" t="s">
        <v>8</v>
      </c>
      <c r="C7" s="2" t="s">
        <v>9</v>
      </c>
      <c r="D7" s="2">
        <v>456858</v>
      </c>
      <c r="E7" s="2">
        <v>0</v>
      </c>
      <c r="F7" s="2">
        <v>442890.57</v>
      </c>
      <c r="G7" s="2">
        <v>13967.43</v>
      </c>
      <c r="H7" s="14" t="s">
        <v>26</v>
      </c>
    </row>
    <row r="8" spans="1:8" x14ac:dyDescent="0.3">
      <c r="A8" s="6" t="s">
        <v>16</v>
      </c>
      <c r="B8" s="1" t="s">
        <v>10</v>
      </c>
      <c r="C8" s="2" t="s">
        <v>11</v>
      </c>
      <c r="D8" s="2">
        <v>50000</v>
      </c>
      <c r="E8" s="2">
        <v>0</v>
      </c>
      <c r="F8" s="2">
        <v>30178.57</v>
      </c>
      <c r="G8" s="2">
        <v>19821.43</v>
      </c>
      <c r="H8" s="14" t="s">
        <v>26</v>
      </c>
    </row>
    <row r="9" spans="1:8" x14ac:dyDescent="0.3">
      <c r="A9" s="6" t="s">
        <v>16</v>
      </c>
      <c r="B9" s="1" t="s">
        <v>12</v>
      </c>
      <c r="C9" s="2" t="s">
        <v>13</v>
      </c>
      <c r="D9" s="2">
        <v>2450</v>
      </c>
      <c r="E9" s="2">
        <v>0</v>
      </c>
      <c r="F9" s="2">
        <v>0</v>
      </c>
      <c r="G9" s="2">
        <v>2450</v>
      </c>
      <c r="H9" s="14" t="s">
        <v>26</v>
      </c>
    </row>
    <row r="10" spans="1:8" x14ac:dyDescent="0.3">
      <c r="A10" s="6" t="s">
        <v>16</v>
      </c>
      <c r="B10" s="1" t="s">
        <v>14</v>
      </c>
      <c r="C10" s="2" t="s">
        <v>15</v>
      </c>
      <c r="D10" s="2">
        <v>365968.96</v>
      </c>
      <c r="E10" s="2">
        <v>0</v>
      </c>
      <c r="F10" s="2">
        <v>355809.97</v>
      </c>
      <c r="G10" s="2">
        <v>10158.99</v>
      </c>
      <c r="H10" s="14" t="s">
        <v>27</v>
      </c>
    </row>
    <row r="11" spans="1:8" x14ac:dyDescent="0.3">
      <c r="A11" s="6" t="s">
        <v>19</v>
      </c>
      <c r="B11" s="1" t="s">
        <v>8</v>
      </c>
      <c r="C11" s="2" t="s">
        <v>9</v>
      </c>
      <c r="D11" s="2">
        <v>313716</v>
      </c>
      <c r="E11" s="2">
        <v>0</v>
      </c>
      <c r="F11" s="2">
        <v>312020</v>
      </c>
      <c r="G11" s="2">
        <v>1696</v>
      </c>
      <c r="H11" s="14" t="s">
        <v>27</v>
      </c>
    </row>
    <row r="12" spans="1:8" x14ac:dyDescent="0.3">
      <c r="A12" s="6" t="s">
        <v>19</v>
      </c>
      <c r="B12" s="1" t="s">
        <v>10</v>
      </c>
      <c r="C12" s="2" t="s">
        <v>11</v>
      </c>
      <c r="D12" s="2">
        <f>349064+30000</f>
        <v>379064</v>
      </c>
      <c r="E12" s="16"/>
      <c r="F12" s="16">
        <f>288263+60801.24</f>
        <v>349064.24</v>
      </c>
      <c r="G12" s="16">
        <v>0</v>
      </c>
      <c r="H12" s="14" t="s">
        <v>27</v>
      </c>
    </row>
    <row r="13" spans="1:8" x14ac:dyDescent="0.3">
      <c r="A13" s="6" t="s">
        <v>19</v>
      </c>
      <c r="B13" s="1" t="s">
        <v>14</v>
      </c>
      <c r="C13" s="2" t="s">
        <v>15</v>
      </c>
      <c r="D13" s="17">
        <v>412000</v>
      </c>
      <c r="E13" s="2">
        <v>11186.77</v>
      </c>
      <c r="F13" s="2">
        <v>402918.75</v>
      </c>
      <c r="G13" s="2">
        <v>5127.25</v>
      </c>
      <c r="H13" s="14" t="s">
        <v>27</v>
      </c>
    </row>
    <row r="14" spans="1:8" x14ac:dyDescent="0.3">
      <c r="A14" s="6" t="s">
        <v>19</v>
      </c>
      <c r="B14" s="1" t="s">
        <v>12</v>
      </c>
      <c r="C14" s="2" t="s">
        <v>13</v>
      </c>
      <c r="D14" s="17">
        <v>3150</v>
      </c>
      <c r="E14" s="2">
        <v>0</v>
      </c>
      <c r="F14" s="2">
        <v>0</v>
      </c>
      <c r="G14" s="2">
        <v>3150</v>
      </c>
      <c r="H14" s="14" t="s">
        <v>28</v>
      </c>
    </row>
    <row r="15" spans="1:8" x14ac:dyDescent="0.3">
      <c r="A15" s="6" t="s">
        <v>20</v>
      </c>
      <c r="B15" s="1" t="s">
        <v>8</v>
      </c>
      <c r="C15" s="2" t="s">
        <v>9</v>
      </c>
      <c r="D15" s="2">
        <v>206858</v>
      </c>
      <c r="E15" s="2">
        <v>0</v>
      </c>
      <c r="F15" s="2">
        <v>0</v>
      </c>
      <c r="G15" s="2">
        <v>206858</v>
      </c>
      <c r="H15" s="14" t="s">
        <v>28</v>
      </c>
    </row>
    <row r="16" spans="1:8" x14ac:dyDescent="0.3">
      <c r="A16" s="6" t="s">
        <v>20</v>
      </c>
      <c r="B16" s="1" t="s">
        <v>10</v>
      </c>
      <c r="C16" s="2" t="s">
        <v>11</v>
      </c>
      <c r="D16" s="2">
        <v>600000</v>
      </c>
      <c r="E16" s="2">
        <v>0</v>
      </c>
      <c r="F16" s="2">
        <v>0</v>
      </c>
      <c r="G16" s="2">
        <v>600000</v>
      </c>
      <c r="H16" s="14" t="s">
        <v>28</v>
      </c>
    </row>
    <row r="17" spans="1:8" x14ac:dyDescent="0.3">
      <c r="A17" s="6" t="s">
        <v>20</v>
      </c>
      <c r="B17" s="1" t="s">
        <v>14</v>
      </c>
      <c r="C17" s="2" t="s">
        <v>15</v>
      </c>
      <c r="D17" s="2">
        <v>307000</v>
      </c>
      <c r="E17" s="2">
        <v>0</v>
      </c>
      <c r="F17" s="2">
        <v>0</v>
      </c>
      <c r="G17" s="2">
        <v>307000</v>
      </c>
      <c r="H17" s="14" t="s">
        <v>28</v>
      </c>
    </row>
    <row r="18" spans="1:8" x14ac:dyDescent="0.3">
      <c r="A18" s="7" t="s">
        <v>19</v>
      </c>
      <c r="B18" s="8" t="s">
        <v>17</v>
      </c>
      <c r="C18" s="2" t="s">
        <v>18</v>
      </c>
      <c r="D18" s="16">
        <v>30000</v>
      </c>
      <c r="E18" s="16">
        <v>29700</v>
      </c>
      <c r="F18" s="16">
        <v>0</v>
      </c>
      <c r="G18" s="16">
        <v>300</v>
      </c>
      <c r="H18" s="1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Report</vt:lpstr>
    </vt:vector>
  </TitlesOfParts>
  <Company>MSIL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G/E/DIENSTEN_Aashi, (EN-32A)</dc:creator>
  <cp:lastModifiedBy>G/E/DIENSTEN_Aashi, (EN-32A)</cp:lastModifiedBy>
  <dcterms:created xsi:type="dcterms:W3CDTF">2025-12-22T06:08:50Z</dcterms:created>
  <dcterms:modified xsi:type="dcterms:W3CDTF">2025-12-22T07:13:06Z</dcterms:modified>
</cp:coreProperties>
</file>